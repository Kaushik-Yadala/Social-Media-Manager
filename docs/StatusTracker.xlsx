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kolla\uni\dass\project\project-monorepo-team-35\docs\"/>
    </mc:Choice>
  </mc:AlternateContent>
  <xr:revisionPtr revIDLastSave="0" documentId="13_ncr:1_{CE670679-DE49-40B8-A03B-4F0D04564835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1" l="1"/>
  <c r="I8" i="1"/>
  <c r="I9" i="1"/>
  <c r="I10" i="1"/>
  <c r="I11" i="1"/>
  <c r="I13" i="1"/>
  <c r="I14" i="1"/>
  <c r="I15" i="1"/>
  <c r="I16" i="1"/>
  <c r="I17" i="1"/>
  <c r="I19" i="1"/>
  <c r="I20" i="1"/>
  <c r="I21" i="1"/>
  <c r="I22" i="1"/>
  <c r="I23" i="1"/>
  <c r="I26" i="1"/>
  <c r="I27" i="1"/>
  <c r="I28" i="1"/>
  <c r="I29" i="1"/>
  <c r="I30" i="1"/>
  <c r="I31" i="1"/>
  <c r="I32" i="1"/>
  <c r="I33" i="1"/>
  <c r="I35" i="1"/>
  <c r="I36" i="1"/>
  <c r="I37" i="1"/>
  <c r="I38" i="1"/>
  <c r="I39" i="1"/>
  <c r="I40" i="1"/>
  <c r="I42" i="1"/>
  <c r="I43" i="1"/>
  <c r="I45" i="1"/>
  <c r="I46" i="1"/>
  <c r="I47" i="1"/>
  <c r="I48" i="1"/>
  <c r="I49" i="1"/>
  <c r="I50" i="1"/>
  <c r="I52" i="1"/>
  <c r="I53" i="1"/>
  <c r="I55" i="1"/>
  <c r="I57" i="1"/>
  <c r="I58" i="1"/>
  <c r="I59" i="1"/>
  <c r="I60" i="1"/>
  <c r="I61" i="1"/>
  <c r="I63" i="1"/>
  <c r="I64" i="1"/>
  <c r="I65" i="1"/>
  <c r="I66" i="1"/>
  <c r="I67" i="1"/>
  <c r="I69" i="1"/>
  <c r="I70" i="1"/>
  <c r="I71" i="1"/>
  <c r="I72" i="1"/>
  <c r="I73" i="1"/>
  <c r="I6" i="1"/>
  <c r="H13" i="1"/>
  <c r="H14" i="1"/>
  <c r="H15" i="1"/>
  <c r="H16" i="1"/>
  <c r="H17" i="1"/>
  <c r="H19" i="1"/>
  <c r="H20" i="1"/>
  <c r="H21" i="1"/>
  <c r="H22" i="1"/>
  <c r="H23" i="1"/>
  <c r="H26" i="1"/>
  <c r="H27" i="1"/>
  <c r="H28" i="1"/>
  <c r="H29" i="1"/>
  <c r="H30" i="1"/>
  <c r="H31" i="1"/>
  <c r="H32" i="1"/>
  <c r="H33" i="1"/>
  <c r="H35" i="1"/>
  <c r="H36" i="1"/>
  <c r="H37" i="1"/>
  <c r="H38" i="1"/>
  <c r="H39" i="1"/>
  <c r="H40" i="1"/>
  <c r="H42" i="1"/>
  <c r="H43" i="1"/>
  <c r="H45" i="1"/>
  <c r="H46" i="1"/>
  <c r="H47" i="1"/>
  <c r="H48" i="1"/>
  <c r="H49" i="1"/>
  <c r="H50" i="1"/>
  <c r="H52" i="1"/>
  <c r="H53" i="1"/>
  <c r="H55" i="1"/>
  <c r="H57" i="1"/>
  <c r="H58" i="1"/>
  <c r="H59" i="1"/>
  <c r="H60" i="1"/>
  <c r="H61" i="1"/>
  <c r="H63" i="1"/>
  <c r="H64" i="1"/>
  <c r="H65" i="1"/>
  <c r="H66" i="1"/>
  <c r="H67" i="1"/>
  <c r="H69" i="1"/>
  <c r="H70" i="1"/>
  <c r="H71" i="1"/>
  <c r="H72" i="1"/>
  <c r="H73" i="1"/>
  <c r="H7" i="1"/>
  <c r="H8" i="1"/>
  <c r="H9" i="1"/>
  <c r="H10" i="1"/>
  <c r="H11" i="1"/>
  <c r="H6" i="1"/>
</calcChain>
</file>

<file path=xl/sharedStrings.xml><?xml version="1.0" encoding="utf-8"?>
<sst xmlns="http://schemas.openxmlformats.org/spreadsheetml/2006/main" count="251" uniqueCount="96">
  <si>
    <t>PROJECT NUMBER</t>
  </si>
  <si>
    <t>PROJECT NAME</t>
  </si>
  <si>
    <t>Cross-Channel Customer Interest &amp; Engagement Intelligence System</t>
  </si>
  <si>
    <t xml:space="preserve">PROJECT MENTOR </t>
  </si>
  <si>
    <t>Meera Rajagopalan</t>
  </si>
  <si>
    <t>Activity Name</t>
  </si>
  <si>
    <t>Type</t>
  </si>
  <si>
    <t>Responsible</t>
  </si>
  <si>
    <t>Estimated Team Hours</t>
  </si>
  <si>
    <t>Actual Hours</t>
  </si>
  <si>
    <t>Status</t>
  </si>
  <si>
    <t>Comments</t>
  </si>
  <si>
    <t>Estimation error</t>
  </si>
  <si>
    <t>Estimation error %</t>
  </si>
  <si>
    <t>Week 1 (January 16- January 21)</t>
  </si>
  <si>
    <t>Fix meeting with client</t>
  </si>
  <si>
    <t>Coordination</t>
  </si>
  <si>
    <t>Sian</t>
  </si>
  <si>
    <t>Done</t>
  </si>
  <si>
    <t>Client meeting</t>
  </si>
  <si>
    <t>Kushagra</t>
  </si>
  <si>
    <t>Introduction and basic plan discussed</t>
  </si>
  <si>
    <t>Project synopsis writeup</t>
  </si>
  <si>
    <t>Documentation</t>
  </si>
  <si>
    <t>Kaushik</t>
  </si>
  <si>
    <t>Decide Tech-Stack</t>
  </si>
  <si>
    <t>Srinivas</t>
  </si>
  <si>
    <t>Minutes of Meeting</t>
  </si>
  <si>
    <t>Devshree</t>
  </si>
  <si>
    <t>Team Meeting</t>
  </si>
  <si>
    <t>To search more on APIs to get data and methods to get insightful stats</t>
  </si>
  <si>
    <t>Week 2 (January 22 - January 28)</t>
  </si>
  <si>
    <t>All</t>
  </si>
  <si>
    <t>Creating the Prototype UI</t>
  </si>
  <si>
    <t>Preparation</t>
  </si>
  <si>
    <t>GIT Repository setup</t>
  </si>
  <si>
    <t>Decided on Prototyping Process Model</t>
  </si>
  <si>
    <t>Week 3 (January 29 - February 5)</t>
  </si>
  <si>
    <t>Discussion about what all is possible and out of scope things and the improvements of prototype</t>
  </si>
  <si>
    <t>Status tracker</t>
  </si>
  <si>
    <t>Draft and Categorize Requirements</t>
  </si>
  <si>
    <t>Week 4 (February 6 - February 12)</t>
  </si>
  <si>
    <t>Research on Data availibility on different platforms:</t>
  </si>
  <si>
    <t>Youtube, Google Ads</t>
  </si>
  <si>
    <t>Facebook/Instagram</t>
  </si>
  <si>
    <t>Search/SEO, Blog Entries</t>
  </si>
  <si>
    <t>LinkedIn - Co-Founders and Company Pages</t>
  </si>
  <si>
    <t>Email Campaigns, E-Commerce</t>
  </si>
  <si>
    <t>Feasibility of competitors analysis (META and LinkedIN)</t>
  </si>
  <si>
    <t>META has endpoints for public access, LinkedIN would require scraping but that is a very iffy thing :(</t>
  </si>
  <si>
    <t>Fill Out project plan</t>
  </si>
  <si>
    <t>Kaushik(Main)</t>
  </si>
  <si>
    <t>Finalize Requirements</t>
  </si>
  <si>
    <t>Week 5 (February 13- February 19)</t>
  </si>
  <si>
    <t>Make the Software Requirements Specification</t>
  </si>
  <si>
    <t>Devshree, Kushagra</t>
  </si>
  <si>
    <t>Blinkit Analysis</t>
  </si>
  <si>
    <t>Looking up Google Analytics set up by the client</t>
  </si>
  <si>
    <t>UML diagrams for SRS</t>
  </si>
  <si>
    <t>Communication with client regarding details and login</t>
  </si>
  <si>
    <t>Communication</t>
  </si>
  <si>
    <t>Week 6 (February 20- February 27)</t>
  </si>
  <si>
    <t xml:space="preserve">Make Test Plan </t>
  </si>
  <si>
    <t>Week 7 (February 28- March 7)</t>
  </si>
  <si>
    <t>Frontend code_1 (Dasboard, Components)</t>
  </si>
  <si>
    <t>Coding</t>
  </si>
  <si>
    <t>Frontend code_2 (Channels)</t>
  </si>
  <si>
    <t>Frontend code_3 (Statistics, Analysis)</t>
  </si>
  <si>
    <t>Frontend code_4 (Alerts and Predictives)</t>
  </si>
  <si>
    <t>API_Calls_Meta</t>
  </si>
  <si>
    <t>Backend_Schemas</t>
  </si>
  <si>
    <t>Week 8 (March 8 - March 14)</t>
  </si>
  <si>
    <t>Stub Data Generation</t>
  </si>
  <si>
    <t>API_Calls_Google_Analytics</t>
  </si>
  <si>
    <t xml:space="preserve"> Done</t>
  </si>
  <si>
    <t>Week 9 (March 15 - March 22)</t>
  </si>
  <si>
    <t>Trying to reach out for apis, filled in forms to get access</t>
  </si>
  <si>
    <t>Week 11 (April 1 - April 7)</t>
  </si>
  <si>
    <t>Integeration of all branches into main</t>
  </si>
  <si>
    <t>Created stub server for simulating API</t>
  </si>
  <si>
    <t>Coordinate with client for API access (YouTube)</t>
  </si>
  <si>
    <t>Elicitate requirements for ML service</t>
  </si>
  <si>
    <t xml:space="preserve">Srinivas </t>
  </si>
  <si>
    <t>AI insights into competitor data</t>
  </si>
  <si>
    <t>Integrate meta api into main</t>
  </si>
  <si>
    <t>Design ML Pipeline for analysis and insights</t>
  </si>
  <si>
    <t>Implement upload pages for meta</t>
  </si>
  <si>
    <t>Setup google cloud console for YouTube analytics</t>
  </si>
  <si>
    <t>Week 12 (April 8 - April 14)</t>
  </si>
  <si>
    <t>Week 13 (April 15 - April 22)</t>
  </si>
  <si>
    <t>Created design document</t>
  </si>
  <si>
    <t>Implement entire ML Pipleline for analysis and insights + Comprehensive testing</t>
  </si>
  <si>
    <t>Research on data scraping guidelines and techniques + Scrape competitor data for analysis</t>
  </si>
  <si>
    <t>Implement automatic data scraping + Analysis of competitor data</t>
  </si>
  <si>
    <t>Implement YouTube analytics page completely and integrate</t>
  </si>
  <si>
    <t>Refine codebase and finalize deliverables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</si>
</sst>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0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999999"/>
        <bgColor rgb="FF999999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5" fillId="4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5" fillId="0" borderId="0" xfId="0" applyFont="1" applyAlignment="1"/>
    <xf numFmtId="0" fontId="3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99"/>
  <sheetViews>
    <sheetView tabSelected="1" workbookViewId="0"/>
  </sheetViews>
  <sheetFormatPr defaultColWidth="12.59765625" defaultRowHeight="15" customHeight="1" x14ac:dyDescent="0.35"/>
  <cols>
    <col min="1" max="1" width="42.1328125" customWidth="1"/>
    <col min="2" max="2" width="73.59765625" customWidth="1"/>
    <col min="3" max="3" width="17.59765625" customWidth="1"/>
    <col min="4" max="6" width="12.59765625" customWidth="1"/>
    <col min="7" max="7" width="77.59765625" customWidth="1"/>
    <col min="8" max="8" width="18.3984375" customWidth="1"/>
    <col min="9" max="9" width="17.3984375" customWidth="1"/>
  </cols>
  <sheetData>
    <row r="1" spans="1:9" ht="15.75" customHeight="1" x14ac:dyDescent="0.5">
      <c r="A1" s="1" t="s">
        <v>0</v>
      </c>
      <c r="B1" s="2">
        <v>35</v>
      </c>
      <c r="C1" s="3"/>
      <c r="D1" s="3"/>
      <c r="E1" s="3"/>
      <c r="F1" s="3"/>
      <c r="G1" s="3"/>
      <c r="H1" s="4">
        <v>0</v>
      </c>
      <c r="I1" s="3"/>
    </row>
    <row r="2" spans="1:9" ht="15.75" customHeight="1" x14ac:dyDescent="0.5">
      <c r="A2" s="1" t="s">
        <v>1</v>
      </c>
      <c r="B2" s="2" t="s">
        <v>2</v>
      </c>
      <c r="C2" s="3"/>
      <c r="D2" s="3"/>
      <c r="E2" s="3"/>
      <c r="F2" s="3"/>
      <c r="G2" s="3"/>
      <c r="H2" s="3"/>
      <c r="I2" s="3"/>
    </row>
    <row r="3" spans="1:9" ht="15.75" customHeight="1" x14ac:dyDescent="0.5">
      <c r="A3" s="1" t="s">
        <v>3</v>
      </c>
      <c r="B3" s="2" t="s">
        <v>4</v>
      </c>
      <c r="C3" s="3"/>
      <c r="D3" s="3"/>
      <c r="E3" s="3"/>
      <c r="F3" s="3"/>
      <c r="G3" s="3"/>
      <c r="H3" s="3"/>
      <c r="I3" s="3"/>
    </row>
    <row r="4" spans="1:9" ht="15.75" customHeight="1" x14ac:dyDescent="0.4">
      <c r="A4" s="5" t="s">
        <v>5</v>
      </c>
      <c r="B4" s="5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5" t="s">
        <v>11</v>
      </c>
      <c r="H4" s="7" t="s">
        <v>12</v>
      </c>
      <c r="I4" s="7" t="s">
        <v>13</v>
      </c>
    </row>
    <row r="5" spans="1:9" ht="15.75" customHeight="1" x14ac:dyDescent="0.4">
      <c r="A5" s="5" t="s">
        <v>14</v>
      </c>
      <c r="B5" s="8"/>
      <c r="C5" s="9"/>
      <c r="D5" s="9"/>
      <c r="E5" s="9"/>
      <c r="F5" s="9"/>
      <c r="G5" s="8"/>
      <c r="H5" s="10"/>
      <c r="I5" s="10"/>
    </row>
    <row r="6" spans="1:9" ht="15.75" customHeight="1" x14ac:dyDescent="0.4">
      <c r="A6" s="11" t="s">
        <v>15</v>
      </c>
      <c r="B6" s="11" t="s">
        <v>16</v>
      </c>
      <c r="C6" s="19" t="s">
        <v>17</v>
      </c>
      <c r="D6" s="19">
        <v>0.25</v>
      </c>
      <c r="E6" s="19">
        <v>0.15</v>
      </c>
      <c r="F6" s="12" t="s">
        <v>18</v>
      </c>
      <c r="G6" s="3"/>
      <c r="H6" s="7">
        <f>D6-E6</f>
        <v>0.1</v>
      </c>
      <c r="I6" s="10">
        <f>ABS(H6)/D6*100</f>
        <v>40</v>
      </c>
    </row>
    <row r="7" spans="1:9" ht="15.75" customHeight="1" x14ac:dyDescent="0.4">
      <c r="A7" s="11" t="s">
        <v>19</v>
      </c>
      <c r="B7" s="11" t="s">
        <v>16</v>
      </c>
      <c r="C7" s="19" t="s">
        <v>20</v>
      </c>
      <c r="D7" s="19">
        <v>1</v>
      </c>
      <c r="E7" s="19">
        <v>0.5</v>
      </c>
      <c r="F7" s="12" t="s">
        <v>18</v>
      </c>
      <c r="G7" s="11" t="s">
        <v>21</v>
      </c>
      <c r="H7" s="7">
        <f t="shared" ref="H7:H70" si="0">D7-E7</f>
        <v>0.5</v>
      </c>
      <c r="I7" s="10">
        <f t="shared" ref="I7:I70" si="1">ABS(H7)/D7*100</f>
        <v>50</v>
      </c>
    </row>
    <row r="8" spans="1:9" ht="15.75" customHeight="1" x14ac:dyDescent="0.4">
      <c r="A8" s="11" t="s">
        <v>22</v>
      </c>
      <c r="B8" s="11" t="s">
        <v>23</v>
      </c>
      <c r="C8" s="19" t="s">
        <v>24</v>
      </c>
      <c r="D8" s="19">
        <v>1</v>
      </c>
      <c r="E8" s="19">
        <v>0.75</v>
      </c>
      <c r="F8" s="12" t="s">
        <v>18</v>
      </c>
      <c r="G8" s="3"/>
      <c r="H8" s="7">
        <f t="shared" si="0"/>
        <v>0.25</v>
      </c>
      <c r="I8" s="10">
        <f t="shared" si="1"/>
        <v>25</v>
      </c>
    </row>
    <row r="9" spans="1:9" ht="15.75" customHeight="1" x14ac:dyDescent="0.4">
      <c r="A9" s="11" t="s">
        <v>25</v>
      </c>
      <c r="B9" s="11" t="s">
        <v>23</v>
      </c>
      <c r="C9" s="19" t="s">
        <v>26</v>
      </c>
      <c r="D9" s="19">
        <v>1.5</v>
      </c>
      <c r="E9" s="19">
        <v>1</v>
      </c>
      <c r="F9" s="12" t="s">
        <v>18</v>
      </c>
      <c r="G9" s="3"/>
      <c r="H9" s="7">
        <f t="shared" si="0"/>
        <v>0.5</v>
      </c>
      <c r="I9" s="10">
        <f t="shared" si="1"/>
        <v>33.333333333333329</v>
      </c>
    </row>
    <row r="10" spans="1:9" ht="15.75" customHeight="1" x14ac:dyDescent="0.4">
      <c r="A10" s="11" t="s">
        <v>27</v>
      </c>
      <c r="B10" s="11" t="s">
        <v>23</v>
      </c>
      <c r="C10" s="19" t="s">
        <v>28</v>
      </c>
      <c r="D10" s="19">
        <v>0.5</v>
      </c>
      <c r="E10" s="19">
        <v>0.3</v>
      </c>
      <c r="F10" s="12" t="s">
        <v>18</v>
      </c>
      <c r="G10" s="3"/>
      <c r="H10" s="7">
        <f t="shared" si="0"/>
        <v>0.2</v>
      </c>
      <c r="I10" s="10">
        <f t="shared" si="1"/>
        <v>40</v>
      </c>
    </row>
    <row r="11" spans="1:9" ht="15.75" customHeight="1" x14ac:dyDescent="0.4">
      <c r="A11" s="11" t="s">
        <v>29</v>
      </c>
      <c r="B11" s="11" t="s">
        <v>16</v>
      </c>
      <c r="C11" s="19" t="s">
        <v>20</v>
      </c>
      <c r="D11" s="19">
        <v>1</v>
      </c>
      <c r="E11" s="19">
        <v>0.5</v>
      </c>
      <c r="F11" s="12" t="s">
        <v>18</v>
      </c>
      <c r="G11" s="11" t="s">
        <v>30</v>
      </c>
      <c r="H11" s="7">
        <f t="shared" si="0"/>
        <v>0.5</v>
      </c>
      <c r="I11" s="10">
        <f t="shared" si="1"/>
        <v>50</v>
      </c>
    </row>
    <row r="12" spans="1:9" ht="15.75" customHeight="1" x14ac:dyDescent="0.4">
      <c r="A12" s="5" t="s">
        <v>31</v>
      </c>
      <c r="B12" s="8"/>
      <c r="C12" s="9"/>
      <c r="D12" s="9"/>
      <c r="E12" s="9"/>
      <c r="F12" s="9"/>
      <c r="G12" s="8"/>
      <c r="H12" s="7"/>
      <c r="I12" s="10"/>
    </row>
    <row r="13" spans="1:9" ht="15.75" customHeight="1" x14ac:dyDescent="0.4">
      <c r="A13" s="11" t="s">
        <v>19</v>
      </c>
      <c r="B13" s="11" t="s">
        <v>16</v>
      </c>
      <c r="C13" s="19" t="s">
        <v>32</v>
      </c>
      <c r="D13" s="19">
        <v>0.5</v>
      </c>
      <c r="E13" s="19">
        <v>0.4</v>
      </c>
      <c r="F13" s="12" t="s">
        <v>18</v>
      </c>
      <c r="G13" s="3"/>
      <c r="H13" s="7">
        <f t="shared" si="0"/>
        <v>9.9999999999999978E-2</v>
      </c>
      <c r="I13" s="10">
        <f t="shared" si="1"/>
        <v>19.999999999999996</v>
      </c>
    </row>
    <row r="14" spans="1:9" ht="15.75" customHeight="1" x14ac:dyDescent="0.4">
      <c r="A14" s="11" t="s">
        <v>27</v>
      </c>
      <c r="B14" s="11" t="s">
        <v>23</v>
      </c>
      <c r="C14" s="19" t="s">
        <v>20</v>
      </c>
      <c r="D14" s="19">
        <v>0.5</v>
      </c>
      <c r="E14" s="19">
        <v>0.3</v>
      </c>
      <c r="F14" s="12" t="s">
        <v>18</v>
      </c>
      <c r="G14" s="3"/>
      <c r="H14" s="7">
        <f t="shared" si="0"/>
        <v>0.2</v>
      </c>
      <c r="I14" s="10">
        <f t="shared" si="1"/>
        <v>40</v>
      </c>
    </row>
    <row r="15" spans="1:9" ht="15.75" customHeight="1" x14ac:dyDescent="0.4">
      <c r="A15" s="11" t="s">
        <v>33</v>
      </c>
      <c r="B15" s="11" t="s">
        <v>34</v>
      </c>
      <c r="C15" s="19" t="s">
        <v>26</v>
      </c>
      <c r="D15" s="20">
        <v>0.5</v>
      </c>
      <c r="E15" s="20">
        <v>0.5</v>
      </c>
      <c r="F15" s="12" t="s">
        <v>18</v>
      </c>
      <c r="G15" s="3"/>
      <c r="H15" s="7">
        <f t="shared" si="0"/>
        <v>0</v>
      </c>
      <c r="I15" s="10">
        <f t="shared" si="1"/>
        <v>0</v>
      </c>
    </row>
    <row r="16" spans="1:9" ht="15.75" customHeight="1" x14ac:dyDescent="0.4">
      <c r="A16" s="11" t="s">
        <v>35</v>
      </c>
      <c r="B16" s="11" t="s">
        <v>34</v>
      </c>
      <c r="C16" s="19" t="s">
        <v>24</v>
      </c>
      <c r="D16" s="19">
        <v>0.25</v>
      </c>
      <c r="E16" s="19">
        <v>0.2</v>
      </c>
      <c r="F16" s="12" t="s">
        <v>18</v>
      </c>
      <c r="G16" s="3"/>
      <c r="H16" s="7">
        <f t="shared" si="0"/>
        <v>4.9999999999999989E-2</v>
      </c>
      <c r="I16" s="10">
        <f t="shared" si="1"/>
        <v>19.999999999999996</v>
      </c>
    </row>
    <row r="17" spans="1:9" ht="15.75" customHeight="1" x14ac:dyDescent="0.4">
      <c r="A17" s="11" t="s">
        <v>29</v>
      </c>
      <c r="B17" s="11" t="s">
        <v>16</v>
      </c>
      <c r="C17" s="19" t="s">
        <v>32</v>
      </c>
      <c r="D17" s="19">
        <v>0.75</v>
      </c>
      <c r="E17" s="19">
        <v>0.5</v>
      </c>
      <c r="F17" s="12" t="s">
        <v>18</v>
      </c>
      <c r="G17" s="11" t="s">
        <v>36</v>
      </c>
      <c r="H17" s="7">
        <f t="shared" si="0"/>
        <v>0.25</v>
      </c>
      <c r="I17" s="10">
        <f t="shared" si="1"/>
        <v>33.333333333333329</v>
      </c>
    </row>
    <row r="18" spans="1:9" ht="15.75" customHeight="1" x14ac:dyDescent="0.4">
      <c r="A18" s="5" t="s">
        <v>37</v>
      </c>
      <c r="B18" s="8"/>
      <c r="C18" s="9"/>
      <c r="D18" s="9"/>
      <c r="E18" s="9"/>
      <c r="F18" s="9"/>
      <c r="G18" s="8"/>
      <c r="H18" s="7"/>
      <c r="I18" s="10"/>
    </row>
    <row r="19" spans="1:9" ht="15.75" customHeight="1" x14ac:dyDescent="0.4">
      <c r="A19" s="11" t="s">
        <v>19</v>
      </c>
      <c r="B19" s="11" t="s">
        <v>16</v>
      </c>
      <c r="C19" s="19" t="s">
        <v>32</v>
      </c>
      <c r="D19" s="19">
        <v>1</v>
      </c>
      <c r="E19" s="19">
        <v>1.25</v>
      </c>
      <c r="F19" s="12" t="s">
        <v>18</v>
      </c>
      <c r="G19" s="11" t="s">
        <v>38</v>
      </c>
      <c r="H19" s="7">
        <f t="shared" si="0"/>
        <v>-0.25</v>
      </c>
      <c r="I19" s="10">
        <f t="shared" si="1"/>
        <v>25</v>
      </c>
    </row>
    <row r="20" spans="1:9" ht="15.75" customHeight="1" x14ac:dyDescent="0.4">
      <c r="A20" s="11" t="s">
        <v>27</v>
      </c>
      <c r="B20" s="11" t="s">
        <v>23</v>
      </c>
      <c r="C20" s="19" t="s">
        <v>17</v>
      </c>
      <c r="D20" s="19">
        <v>0.5</v>
      </c>
      <c r="E20" s="19">
        <v>0.3</v>
      </c>
      <c r="F20" s="12" t="s">
        <v>18</v>
      </c>
      <c r="G20" s="3"/>
      <c r="H20" s="7">
        <f t="shared" si="0"/>
        <v>0.2</v>
      </c>
      <c r="I20" s="10">
        <f t="shared" si="1"/>
        <v>40</v>
      </c>
    </row>
    <row r="21" spans="1:9" ht="15.75" customHeight="1" x14ac:dyDescent="0.4">
      <c r="A21" s="11" t="s">
        <v>29</v>
      </c>
      <c r="B21" s="11" t="s">
        <v>16</v>
      </c>
      <c r="C21" s="19" t="s">
        <v>32</v>
      </c>
      <c r="D21" s="19">
        <v>0.75</v>
      </c>
      <c r="E21" s="19">
        <v>1</v>
      </c>
      <c r="F21" s="12" t="s">
        <v>18</v>
      </c>
      <c r="G21" s="3"/>
      <c r="H21" s="7">
        <f t="shared" si="0"/>
        <v>-0.25</v>
      </c>
      <c r="I21" s="10">
        <f t="shared" si="1"/>
        <v>33.333333333333329</v>
      </c>
    </row>
    <row r="22" spans="1:9" ht="15.75" customHeight="1" x14ac:dyDescent="0.4">
      <c r="A22" s="11" t="s">
        <v>39</v>
      </c>
      <c r="B22" s="11" t="s">
        <v>23</v>
      </c>
      <c r="C22" s="19" t="s">
        <v>28</v>
      </c>
      <c r="D22" s="19">
        <v>2</v>
      </c>
      <c r="E22" s="19">
        <v>1.75</v>
      </c>
      <c r="F22" s="12" t="s">
        <v>18</v>
      </c>
      <c r="G22" s="3"/>
      <c r="H22" s="7">
        <f t="shared" si="0"/>
        <v>0.25</v>
      </c>
      <c r="I22" s="10">
        <f t="shared" si="1"/>
        <v>12.5</v>
      </c>
    </row>
    <row r="23" spans="1:9" ht="15.75" customHeight="1" x14ac:dyDescent="0.4">
      <c r="A23" s="11" t="s">
        <v>40</v>
      </c>
      <c r="B23" s="11" t="s">
        <v>23</v>
      </c>
      <c r="C23" s="19" t="s">
        <v>24</v>
      </c>
      <c r="D23" s="19">
        <v>1</v>
      </c>
      <c r="E23" s="19">
        <v>2</v>
      </c>
      <c r="F23" s="12" t="s">
        <v>18</v>
      </c>
      <c r="G23" s="3"/>
      <c r="H23" s="7">
        <f t="shared" si="0"/>
        <v>-1</v>
      </c>
      <c r="I23" s="10">
        <f t="shared" si="1"/>
        <v>100</v>
      </c>
    </row>
    <row r="24" spans="1:9" ht="15.75" customHeight="1" x14ac:dyDescent="0.4">
      <c r="A24" s="5" t="s">
        <v>41</v>
      </c>
      <c r="B24" s="8"/>
      <c r="C24" s="9"/>
      <c r="D24" s="9"/>
      <c r="E24" s="9"/>
      <c r="F24" s="9"/>
      <c r="G24" s="8"/>
      <c r="H24" s="7"/>
      <c r="I24" s="10"/>
    </row>
    <row r="25" spans="1:9" ht="15.75" customHeight="1" x14ac:dyDescent="0.4">
      <c r="A25" s="11" t="s">
        <v>42</v>
      </c>
      <c r="B25" s="11" t="s">
        <v>34</v>
      </c>
      <c r="C25" s="13"/>
      <c r="D25" s="13"/>
      <c r="E25" s="13"/>
      <c r="F25" s="13"/>
      <c r="G25" s="3"/>
      <c r="H25" s="7"/>
      <c r="I25" s="10"/>
    </row>
    <row r="26" spans="1:9" ht="15.75" customHeight="1" x14ac:dyDescent="0.4">
      <c r="A26" s="19" t="s">
        <v>43</v>
      </c>
      <c r="B26" s="3"/>
      <c r="C26" s="19" t="s">
        <v>17</v>
      </c>
      <c r="D26" s="19">
        <v>1</v>
      </c>
      <c r="E26" s="19">
        <v>1</v>
      </c>
      <c r="F26" s="12" t="s">
        <v>18</v>
      </c>
      <c r="G26" s="3"/>
      <c r="H26" s="7">
        <f t="shared" si="0"/>
        <v>0</v>
      </c>
      <c r="I26" s="10">
        <f t="shared" si="1"/>
        <v>0</v>
      </c>
    </row>
    <row r="27" spans="1:9" ht="15.75" customHeight="1" x14ac:dyDescent="0.4">
      <c r="A27" s="19" t="s">
        <v>44</v>
      </c>
      <c r="B27" s="3"/>
      <c r="C27" s="19" t="s">
        <v>28</v>
      </c>
      <c r="D27" s="19">
        <v>1</v>
      </c>
      <c r="E27" s="19">
        <v>1.25</v>
      </c>
      <c r="F27" s="12" t="s">
        <v>18</v>
      </c>
      <c r="G27" s="3"/>
      <c r="H27" s="7">
        <f t="shared" si="0"/>
        <v>-0.25</v>
      </c>
      <c r="I27" s="10">
        <f t="shared" si="1"/>
        <v>25</v>
      </c>
    </row>
    <row r="28" spans="1:9" ht="15.75" customHeight="1" x14ac:dyDescent="0.4">
      <c r="A28" s="19" t="s">
        <v>45</v>
      </c>
      <c r="B28" s="3"/>
      <c r="C28" s="19" t="s">
        <v>20</v>
      </c>
      <c r="D28" s="19">
        <v>1</v>
      </c>
      <c r="E28" s="19">
        <v>1.5</v>
      </c>
      <c r="F28" s="12" t="s">
        <v>18</v>
      </c>
      <c r="G28" s="3"/>
      <c r="H28" s="7">
        <f t="shared" si="0"/>
        <v>-0.5</v>
      </c>
      <c r="I28" s="10">
        <f t="shared" si="1"/>
        <v>50</v>
      </c>
    </row>
    <row r="29" spans="1:9" ht="15.75" customHeight="1" x14ac:dyDescent="0.4">
      <c r="A29" s="19" t="s">
        <v>46</v>
      </c>
      <c r="B29" s="3"/>
      <c r="C29" s="19" t="s">
        <v>24</v>
      </c>
      <c r="D29" s="19">
        <v>1</v>
      </c>
      <c r="E29" s="19">
        <v>1.5</v>
      </c>
      <c r="F29" s="12" t="s">
        <v>18</v>
      </c>
      <c r="G29" s="3"/>
      <c r="H29" s="7">
        <f t="shared" si="0"/>
        <v>-0.5</v>
      </c>
      <c r="I29" s="10">
        <f t="shared" si="1"/>
        <v>50</v>
      </c>
    </row>
    <row r="30" spans="1:9" ht="15.75" customHeight="1" x14ac:dyDescent="0.4">
      <c r="A30" s="19" t="s">
        <v>47</v>
      </c>
      <c r="B30" s="3"/>
      <c r="C30" s="19" t="s">
        <v>26</v>
      </c>
      <c r="D30" s="19">
        <v>1</v>
      </c>
      <c r="E30" s="20">
        <v>1</v>
      </c>
      <c r="F30" s="12" t="s">
        <v>18</v>
      </c>
      <c r="G30" s="3"/>
      <c r="H30" s="7">
        <f t="shared" si="0"/>
        <v>0</v>
      </c>
      <c r="I30" s="10">
        <f t="shared" si="1"/>
        <v>0</v>
      </c>
    </row>
    <row r="31" spans="1:9" ht="15.75" customHeight="1" x14ac:dyDescent="0.4">
      <c r="A31" s="19" t="s">
        <v>48</v>
      </c>
      <c r="B31" s="3"/>
      <c r="C31" s="19" t="s">
        <v>24</v>
      </c>
      <c r="D31" s="19">
        <v>0.5</v>
      </c>
      <c r="E31" s="19">
        <v>0.5</v>
      </c>
      <c r="F31" s="12" t="s">
        <v>18</v>
      </c>
      <c r="G31" s="11" t="s">
        <v>49</v>
      </c>
      <c r="H31" s="7">
        <f t="shared" si="0"/>
        <v>0</v>
      </c>
      <c r="I31" s="10">
        <f t="shared" si="1"/>
        <v>0</v>
      </c>
    </row>
    <row r="32" spans="1:9" ht="15.75" customHeight="1" x14ac:dyDescent="0.4">
      <c r="A32" s="11" t="s">
        <v>50</v>
      </c>
      <c r="B32" s="11" t="s">
        <v>23</v>
      </c>
      <c r="C32" s="19" t="s">
        <v>51</v>
      </c>
      <c r="D32" s="19">
        <v>1.5</v>
      </c>
      <c r="E32" s="19">
        <v>1</v>
      </c>
      <c r="F32" s="12" t="s">
        <v>18</v>
      </c>
      <c r="G32" s="3"/>
      <c r="H32" s="7">
        <f t="shared" si="0"/>
        <v>0.5</v>
      </c>
      <c r="I32" s="10">
        <f t="shared" si="1"/>
        <v>33.333333333333329</v>
      </c>
    </row>
    <row r="33" spans="1:9" ht="15.75" customHeight="1" x14ac:dyDescent="0.4">
      <c r="A33" s="11" t="s">
        <v>52</v>
      </c>
      <c r="B33" s="11" t="s">
        <v>23</v>
      </c>
      <c r="C33" s="19" t="s">
        <v>24</v>
      </c>
      <c r="D33" s="19">
        <v>1.5</v>
      </c>
      <c r="E33" s="19">
        <v>1.75</v>
      </c>
      <c r="F33" s="12" t="s">
        <v>18</v>
      </c>
      <c r="G33" s="3"/>
      <c r="H33" s="7">
        <f t="shared" si="0"/>
        <v>-0.25</v>
      </c>
      <c r="I33" s="10">
        <f t="shared" si="1"/>
        <v>16.666666666666664</v>
      </c>
    </row>
    <row r="34" spans="1:9" ht="15.75" customHeight="1" x14ac:dyDescent="0.4">
      <c r="A34" s="14" t="s">
        <v>53</v>
      </c>
      <c r="B34" s="15"/>
      <c r="C34" s="16"/>
      <c r="D34" s="16"/>
      <c r="E34" s="16"/>
      <c r="F34" s="16"/>
      <c r="G34" s="15"/>
      <c r="H34" s="7"/>
      <c r="I34" s="10"/>
    </row>
    <row r="35" spans="1:9" ht="15.75" customHeight="1" x14ac:dyDescent="0.4">
      <c r="A35" s="11" t="s">
        <v>54</v>
      </c>
      <c r="B35" s="11" t="s">
        <v>23</v>
      </c>
      <c r="C35" s="19" t="s">
        <v>55</v>
      </c>
      <c r="D35" s="19">
        <v>1.5</v>
      </c>
      <c r="E35" s="19">
        <v>2</v>
      </c>
      <c r="F35" s="12" t="s">
        <v>18</v>
      </c>
      <c r="G35" s="3"/>
      <c r="H35" s="7">
        <f t="shared" si="0"/>
        <v>-0.5</v>
      </c>
      <c r="I35" s="10">
        <f t="shared" si="1"/>
        <v>33.333333333333329</v>
      </c>
    </row>
    <row r="36" spans="1:9" ht="15.75" customHeight="1" x14ac:dyDescent="0.4">
      <c r="A36" s="11" t="s">
        <v>56</v>
      </c>
      <c r="B36" s="11" t="s">
        <v>34</v>
      </c>
      <c r="C36" s="19" t="s">
        <v>24</v>
      </c>
      <c r="D36" s="19">
        <v>0.5</v>
      </c>
      <c r="E36" s="19">
        <v>0.6</v>
      </c>
      <c r="F36" s="12" t="s">
        <v>18</v>
      </c>
      <c r="G36" s="3"/>
      <c r="H36" s="7">
        <f t="shared" si="0"/>
        <v>-9.9999999999999978E-2</v>
      </c>
      <c r="I36" s="10">
        <f t="shared" si="1"/>
        <v>19.999999999999996</v>
      </c>
    </row>
    <row r="37" spans="1:9" ht="15.75" customHeight="1" x14ac:dyDescent="0.4">
      <c r="A37" s="11" t="s">
        <v>57</v>
      </c>
      <c r="B37" s="11" t="s">
        <v>34</v>
      </c>
      <c r="C37" s="19" t="s">
        <v>20</v>
      </c>
      <c r="D37" s="19">
        <v>0.5</v>
      </c>
      <c r="E37" s="19">
        <v>0.7</v>
      </c>
      <c r="F37" s="12" t="s">
        <v>18</v>
      </c>
      <c r="G37" s="3"/>
      <c r="H37" s="7">
        <f t="shared" si="0"/>
        <v>-0.19999999999999996</v>
      </c>
      <c r="I37" s="10">
        <f t="shared" si="1"/>
        <v>39.999999999999993</v>
      </c>
    </row>
    <row r="38" spans="1:9" ht="15.75" customHeight="1" x14ac:dyDescent="0.4">
      <c r="A38" s="11" t="s">
        <v>58</v>
      </c>
      <c r="B38" s="11" t="s">
        <v>23</v>
      </c>
      <c r="C38" s="19" t="s">
        <v>26</v>
      </c>
      <c r="D38" s="19">
        <v>0.5</v>
      </c>
      <c r="E38" s="19">
        <v>0.5</v>
      </c>
      <c r="F38" s="12" t="s">
        <v>18</v>
      </c>
      <c r="G38" s="3"/>
      <c r="H38" s="7">
        <f t="shared" si="0"/>
        <v>0</v>
      </c>
      <c r="I38" s="10">
        <f t="shared" si="1"/>
        <v>0</v>
      </c>
    </row>
    <row r="39" spans="1:9" ht="15.75" customHeight="1" x14ac:dyDescent="0.4">
      <c r="A39" s="11" t="s">
        <v>59</v>
      </c>
      <c r="B39" s="11" t="s">
        <v>60</v>
      </c>
      <c r="C39" s="19" t="s">
        <v>32</v>
      </c>
      <c r="D39" s="19">
        <v>1.5</v>
      </c>
      <c r="E39" s="19">
        <v>2</v>
      </c>
      <c r="F39" s="12" t="s">
        <v>18</v>
      </c>
      <c r="G39" s="3"/>
      <c r="H39" s="7">
        <f t="shared" si="0"/>
        <v>-0.5</v>
      </c>
      <c r="I39" s="10">
        <f t="shared" si="1"/>
        <v>33.333333333333329</v>
      </c>
    </row>
    <row r="40" spans="1:9" ht="15.75" customHeight="1" x14ac:dyDescent="0.4">
      <c r="A40" s="11" t="s">
        <v>27</v>
      </c>
      <c r="B40" s="11" t="s">
        <v>23</v>
      </c>
      <c r="C40" s="19" t="s">
        <v>17</v>
      </c>
      <c r="D40" s="19">
        <v>0.5</v>
      </c>
      <c r="E40" s="19">
        <v>0.4</v>
      </c>
      <c r="F40" s="12" t="s">
        <v>18</v>
      </c>
      <c r="G40" s="3"/>
      <c r="H40" s="7">
        <f t="shared" si="0"/>
        <v>9.9999999999999978E-2</v>
      </c>
      <c r="I40" s="10">
        <f t="shared" si="1"/>
        <v>19.999999999999996</v>
      </c>
    </row>
    <row r="41" spans="1:9" ht="15.75" customHeight="1" x14ac:dyDescent="0.4">
      <c r="A41" s="14" t="s">
        <v>61</v>
      </c>
      <c r="B41" s="15"/>
      <c r="C41" s="16"/>
      <c r="D41" s="16"/>
      <c r="E41" s="16"/>
      <c r="F41" s="16"/>
      <c r="G41" s="15"/>
      <c r="H41" s="7"/>
      <c r="I41" s="10"/>
    </row>
    <row r="42" spans="1:9" ht="15.75" customHeight="1" x14ac:dyDescent="0.4">
      <c r="A42" s="11" t="s">
        <v>27</v>
      </c>
      <c r="B42" s="11" t="s">
        <v>23</v>
      </c>
      <c r="C42" s="19" t="s">
        <v>17</v>
      </c>
      <c r="D42" s="19">
        <v>0.5</v>
      </c>
      <c r="E42" s="19">
        <v>0.4</v>
      </c>
      <c r="F42" s="12" t="s">
        <v>18</v>
      </c>
      <c r="G42" s="3"/>
      <c r="H42" s="7">
        <f t="shared" si="0"/>
        <v>9.9999999999999978E-2</v>
      </c>
      <c r="I42" s="10">
        <f t="shared" si="1"/>
        <v>19.999999999999996</v>
      </c>
    </row>
    <row r="43" spans="1:9" ht="15.75" customHeight="1" x14ac:dyDescent="0.4">
      <c r="A43" s="11" t="s">
        <v>62</v>
      </c>
      <c r="B43" s="11" t="s">
        <v>23</v>
      </c>
      <c r="C43" s="19" t="s">
        <v>26</v>
      </c>
      <c r="D43" s="19">
        <v>2</v>
      </c>
      <c r="E43" s="19">
        <v>1.5</v>
      </c>
      <c r="F43" s="12" t="s">
        <v>18</v>
      </c>
      <c r="G43" s="3"/>
      <c r="H43" s="7">
        <f t="shared" si="0"/>
        <v>0.5</v>
      </c>
      <c r="I43" s="10">
        <f t="shared" si="1"/>
        <v>25</v>
      </c>
    </row>
    <row r="44" spans="1:9" ht="15.75" customHeight="1" x14ac:dyDescent="0.4">
      <c r="A44" s="14" t="s">
        <v>63</v>
      </c>
      <c r="B44" s="15"/>
      <c r="C44" s="16"/>
      <c r="D44" s="16"/>
      <c r="E44" s="16"/>
      <c r="F44" s="16"/>
      <c r="G44" s="15"/>
      <c r="H44" s="7"/>
      <c r="I44" s="10"/>
    </row>
    <row r="45" spans="1:9" ht="15.75" customHeight="1" x14ac:dyDescent="0.4">
      <c r="A45" s="11" t="s">
        <v>64</v>
      </c>
      <c r="B45" s="11" t="s">
        <v>65</v>
      </c>
      <c r="C45" s="19" t="s">
        <v>28</v>
      </c>
      <c r="D45" s="19">
        <v>3</v>
      </c>
      <c r="E45" s="19">
        <v>2.6</v>
      </c>
      <c r="F45" s="12" t="s">
        <v>18</v>
      </c>
      <c r="G45" s="3"/>
      <c r="H45" s="7">
        <f t="shared" si="0"/>
        <v>0.39999999999999991</v>
      </c>
      <c r="I45" s="10">
        <f t="shared" si="1"/>
        <v>13.33333333333333</v>
      </c>
    </row>
    <row r="46" spans="1:9" ht="15.75" customHeight="1" x14ac:dyDescent="0.4">
      <c r="A46" s="11" t="s">
        <v>66</v>
      </c>
      <c r="B46" s="11" t="s">
        <v>65</v>
      </c>
      <c r="C46" s="19" t="s">
        <v>24</v>
      </c>
      <c r="D46" s="19">
        <v>2</v>
      </c>
      <c r="E46" s="19">
        <v>2</v>
      </c>
      <c r="F46" s="12" t="s">
        <v>18</v>
      </c>
      <c r="G46" s="3"/>
      <c r="H46" s="7">
        <f t="shared" si="0"/>
        <v>0</v>
      </c>
      <c r="I46" s="10">
        <f t="shared" si="1"/>
        <v>0</v>
      </c>
    </row>
    <row r="47" spans="1:9" ht="15.75" customHeight="1" x14ac:dyDescent="0.4">
      <c r="A47" s="11" t="s">
        <v>67</v>
      </c>
      <c r="B47" s="11" t="s">
        <v>65</v>
      </c>
      <c r="C47" s="19" t="s">
        <v>28</v>
      </c>
      <c r="D47" s="19">
        <v>2.5</v>
      </c>
      <c r="E47" s="19">
        <v>3</v>
      </c>
      <c r="F47" s="12" t="s">
        <v>18</v>
      </c>
      <c r="G47" s="3"/>
      <c r="H47" s="7">
        <f t="shared" si="0"/>
        <v>-0.5</v>
      </c>
      <c r="I47" s="10">
        <f t="shared" si="1"/>
        <v>20</v>
      </c>
    </row>
    <row r="48" spans="1:9" ht="15.75" customHeight="1" x14ac:dyDescent="0.4">
      <c r="A48" s="11" t="s">
        <v>68</v>
      </c>
      <c r="B48" s="11" t="s">
        <v>65</v>
      </c>
      <c r="C48" s="19" t="s">
        <v>24</v>
      </c>
      <c r="D48" s="19">
        <v>3</v>
      </c>
      <c r="E48" s="19">
        <v>3.25</v>
      </c>
      <c r="F48" s="12" t="s">
        <v>18</v>
      </c>
      <c r="G48" s="3"/>
      <c r="H48" s="7">
        <f t="shared" si="0"/>
        <v>-0.25</v>
      </c>
      <c r="I48" s="10">
        <f t="shared" si="1"/>
        <v>8.3333333333333321</v>
      </c>
    </row>
    <row r="49" spans="1:9" ht="15.75" customHeight="1" x14ac:dyDescent="0.4">
      <c r="A49" s="11" t="s">
        <v>69</v>
      </c>
      <c r="B49" s="11" t="s">
        <v>65</v>
      </c>
      <c r="C49" s="19" t="s">
        <v>26</v>
      </c>
      <c r="D49" s="19">
        <v>5</v>
      </c>
      <c r="E49" s="19">
        <v>6</v>
      </c>
      <c r="F49" s="12" t="s">
        <v>18</v>
      </c>
      <c r="G49" s="3"/>
      <c r="H49" s="7">
        <f t="shared" si="0"/>
        <v>-1</v>
      </c>
      <c r="I49" s="10">
        <f t="shared" si="1"/>
        <v>20</v>
      </c>
    </row>
    <row r="50" spans="1:9" ht="15.75" customHeight="1" x14ac:dyDescent="0.4">
      <c r="A50" s="17" t="s">
        <v>70</v>
      </c>
      <c r="B50" s="17" t="s">
        <v>65</v>
      </c>
      <c r="C50" s="20" t="s">
        <v>20</v>
      </c>
      <c r="D50" s="20">
        <v>3</v>
      </c>
      <c r="E50" s="21">
        <v>3.25</v>
      </c>
      <c r="F50" s="12" t="s">
        <v>18</v>
      </c>
      <c r="H50" s="7">
        <f t="shared" si="0"/>
        <v>-0.25</v>
      </c>
      <c r="I50" s="10">
        <f t="shared" si="1"/>
        <v>8.3333333333333321</v>
      </c>
    </row>
    <row r="51" spans="1:9" ht="15.75" customHeight="1" x14ac:dyDescent="0.4">
      <c r="A51" s="14" t="s">
        <v>71</v>
      </c>
      <c r="B51" s="15"/>
      <c r="C51" s="16"/>
      <c r="D51" s="16"/>
      <c r="E51" s="16"/>
      <c r="F51" s="16"/>
      <c r="G51" s="15"/>
      <c r="H51" s="7"/>
      <c r="I51" s="10"/>
    </row>
    <row r="52" spans="1:9" ht="15.75" customHeight="1" x14ac:dyDescent="0.4">
      <c r="A52" s="18" t="s">
        <v>72</v>
      </c>
      <c r="B52" s="18" t="s">
        <v>65</v>
      </c>
      <c r="C52" s="18" t="s">
        <v>17</v>
      </c>
      <c r="D52" s="18">
        <v>4</v>
      </c>
      <c r="E52" s="18">
        <v>4</v>
      </c>
      <c r="F52" s="12" t="s">
        <v>18</v>
      </c>
      <c r="H52" s="7">
        <f t="shared" si="0"/>
        <v>0</v>
      </c>
      <c r="I52" s="10">
        <f t="shared" si="1"/>
        <v>0</v>
      </c>
    </row>
    <row r="53" spans="1:9" ht="15.75" customHeight="1" x14ac:dyDescent="0.4">
      <c r="A53" s="11" t="s">
        <v>73</v>
      </c>
      <c r="B53" s="11" t="s">
        <v>65</v>
      </c>
      <c r="C53" s="19" t="s">
        <v>20</v>
      </c>
      <c r="D53" s="19">
        <v>5</v>
      </c>
      <c r="E53" s="19">
        <v>4.5</v>
      </c>
      <c r="F53" s="12" t="s">
        <v>74</v>
      </c>
      <c r="G53" s="3"/>
      <c r="H53" s="7">
        <f t="shared" si="0"/>
        <v>0.5</v>
      </c>
      <c r="I53" s="10">
        <f t="shared" si="1"/>
        <v>10</v>
      </c>
    </row>
    <row r="54" spans="1:9" ht="15.75" customHeight="1" x14ac:dyDescent="0.4">
      <c r="A54" s="14" t="s">
        <v>75</v>
      </c>
      <c r="B54" s="15"/>
      <c r="C54" s="16"/>
      <c r="D54" s="16"/>
      <c r="E54" s="16"/>
      <c r="F54" s="16"/>
      <c r="G54" s="15"/>
      <c r="H54" s="7"/>
      <c r="I54" s="10"/>
    </row>
    <row r="55" spans="1:9" ht="15.75" customHeight="1" x14ac:dyDescent="0.4">
      <c r="A55" s="18" t="s">
        <v>76</v>
      </c>
      <c r="B55" s="18" t="s">
        <v>34</v>
      </c>
      <c r="C55" s="18" t="s">
        <v>32</v>
      </c>
      <c r="D55" s="18">
        <v>4</v>
      </c>
      <c r="E55" s="18">
        <v>3</v>
      </c>
      <c r="F55" s="12" t="s">
        <v>74</v>
      </c>
      <c r="H55" s="7">
        <f t="shared" si="0"/>
        <v>1</v>
      </c>
      <c r="I55" s="10">
        <f t="shared" si="1"/>
        <v>25</v>
      </c>
    </row>
    <row r="56" spans="1:9" ht="15.75" customHeight="1" x14ac:dyDescent="0.4">
      <c r="A56" s="14" t="s">
        <v>77</v>
      </c>
      <c r="B56" s="15"/>
      <c r="C56" s="16"/>
      <c r="D56" s="16"/>
      <c r="E56" s="16"/>
      <c r="F56" s="16"/>
      <c r="G56" s="15"/>
      <c r="H56" s="7"/>
      <c r="I56" s="10"/>
    </row>
    <row r="57" spans="1:9" ht="15.75" customHeight="1" x14ac:dyDescent="0.4">
      <c r="A57" s="18" t="s">
        <v>78</v>
      </c>
      <c r="B57" s="18" t="s">
        <v>65</v>
      </c>
      <c r="C57" s="18" t="s">
        <v>20</v>
      </c>
      <c r="D57" s="18">
        <v>3</v>
      </c>
      <c r="E57" s="18">
        <v>2.5</v>
      </c>
      <c r="F57" s="12" t="s">
        <v>74</v>
      </c>
      <c r="H57" s="7">
        <f t="shared" si="0"/>
        <v>0.5</v>
      </c>
      <c r="I57" s="10">
        <f t="shared" si="1"/>
        <v>16.666666666666664</v>
      </c>
    </row>
    <row r="58" spans="1:9" ht="15.75" customHeight="1" x14ac:dyDescent="0.4">
      <c r="A58" s="18" t="s">
        <v>92</v>
      </c>
      <c r="B58" s="18" t="s">
        <v>34</v>
      </c>
      <c r="C58" s="18" t="s">
        <v>28</v>
      </c>
      <c r="D58" s="18">
        <v>5</v>
      </c>
      <c r="E58">
        <v>4</v>
      </c>
      <c r="F58" s="12" t="s">
        <v>74</v>
      </c>
      <c r="H58" s="7">
        <f t="shared" si="0"/>
        <v>1</v>
      </c>
      <c r="I58" s="10">
        <f t="shared" si="1"/>
        <v>20</v>
      </c>
    </row>
    <row r="59" spans="1:9" ht="15.75" customHeight="1" x14ac:dyDescent="0.4">
      <c r="A59" s="18" t="s">
        <v>79</v>
      </c>
      <c r="B59" s="18" t="s">
        <v>65</v>
      </c>
      <c r="C59" s="18" t="s">
        <v>24</v>
      </c>
      <c r="D59" s="18">
        <v>2</v>
      </c>
      <c r="E59">
        <v>3</v>
      </c>
      <c r="F59" s="12" t="s">
        <v>74</v>
      </c>
      <c r="H59" s="7">
        <f t="shared" si="0"/>
        <v>-1</v>
      </c>
      <c r="I59" s="10">
        <f t="shared" si="1"/>
        <v>50</v>
      </c>
    </row>
    <row r="60" spans="1:9" ht="15.75" customHeight="1" x14ac:dyDescent="0.4">
      <c r="A60" s="18" t="s">
        <v>80</v>
      </c>
      <c r="B60" s="18" t="s">
        <v>16</v>
      </c>
      <c r="C60" s="18" t="s">
        <v>17</v>
      </c>
      <c r="D60" s="18">
        <v>1</v>
      </c>
      <c r="E60">
        <v>1</v>
      </c>
      <c r="F60" s="12" t="s">
        <v>74</v>
      </c>
      <c r="H60" s="7">
        <f t="shared" si="0"/>
        <v>0</v>
      </c>
      <c r="I60" s="10">
        <f t="shared" si="1"/>
        <v>0</v>
      </c>
    </row>
    <row r="61" spans="1:9" ht="15.75" customHeight="1" x14ac:dyDescent="0.4">
      <c r="A61" s="18" t="s">
        <v>81</v>
      </c>
      <c r="B61" s="18" t="s">
        <v>16</v>
      </c>
      <c r="C61" s="18" t="s">
        <v>82</v>
      </c>
      <c r="D61" s="18">
        <v>1.5</v>
      </c>
      <c r="E61">
        <v>2</v>
      </c>
      <c r="F61" s="12" t="s">
        <v>74</v>
      </c>
      <c r="H61" s="7">
        <f t="shared" si="0"/>
        <v>-0.5</v>
      </c>
      <c r="I61" s="10">
        <f t="shared" si="1"/>
        <v>33.333333333333329</v>
      </c>
    </row>
    <row r="62" spans="1:9" ht="15.75" customHeight="1" x14ac:dyDescent="0.4">
      <c r="A62" s="14" t="s">
        <v>88</v>
      </c>
      <c r="B62" s="15"/>
      <c r="C62" s="16"/>
      <c r="D62" s="16"/>
      <c r="E62" s="16"/>
      <c r="F62" s="16"/>
      <c r="G62" s="15"/>
      <c r="H62" s="7"/>
      <c r="I62" s="10"/>
    </row>
    <row r="63" spans="1:9" ht="15.75" customHeight="1" x14ac:dyDescent="0.4">
      <c r="A63" s="18" t="s">
        <v>83</v>
      </c>
      <c r="B63" s="18" t="s">
        <v>65</v>
      </c>
      <c r="C63" s="18" t="s">
        <v>28</v>
      </c>
      <c r="D63" s="18">
        <v>3</v>
      </c>
      <c r="E63">
        <v>3</v>
      </c>
      <c r="F63" s="12" t="s">
        <v>74</v>
      </c>
      <c r="H63" s="7">
        <f t="shared" si="0"/>
        <v>0</v>
      </c>
      <c r="I63" s="10">
        <f t="shared" si="1"/>
        <v>0</v>
      </c>
    </row>
    <row r="64" spans="1:9" ht="15.75" customHeight="1" x14ac:dyDescent="0.4">
      <c r="A64" s="18" t="s">
        <v>84</v>
      </c>
      <c r="B64" s="18" t="s">
        <v>65</v>
      </c>
      <c r="C64" s="18" t="s">
        <v>20</v>
      </c>
      <c r="D64" s="18">
        <v>2</v>
      </c>
      <c r="E64">
        <v>2.5</v>
      </c>
      <c r="F64" s="12" t="s">
        <v>74</v>
      </c>
      <c r="H64" s="7">
        <f t="shared" si="0"/>
        <v>-0.5</v>
      </c>
      <c r="I64" s="10">
        <f t="shared" si="1"/>
        <v>25</v>
      </c>
    </row>
    <row r="65" spans="1:9" ht="15.75" customHeight="1" x14ac:dyDescent="0.4">
      <c r="A65" s="18" t="s">
        <v>85</v>
      </c>
      <c r="B65" s="18" t="s">
        <v>23</v>
      </c>
      <c r="C65" s="18" t="s">
        <v>26</v>
      </c>
      <c r="D65" s="18">
        <v>2.5</v>
      </c>
      <c r="E65">
        <v>2.5</v>
      </c>
      <c r="F65" s="12" t="s">
        <v>74</v>
      </c>
      <c r="H65" s="7">
        <f t="shared" si="0"/>
        <v>0</v>
      </c>
      <c r="I65" s="10">
        <f t="shared" si="1"/>
        <v>0</v>
      </c>
    </row>
    <row r="66" spans="1:9" ht="15.75" customHeight="1" x14ac:dyDescent="0.4">
      <c r="A66" s="18" t="s">
        <v>86</v>
      </c>
      <c r="B66" s="18" t="s">
        <v>65</v>
      </c>
      <c r="C66" s="18" t="s">
        <v>24</v>
      </c>
      <c r="D66" s="18">
        <v>3</v>
      </c>
      <c r="E66">
        <v>3</v>
      </c>
      <c r="F66" s="12" t="s">
        <v>74</v>
      </c>
      <c r="H66" s="7">
        <f t="shared" si="0"/>
        <v>0</v>
      </c>
      <c r="I66" s="10">
        <f t="shared" si="1"/>
        <v>0</v>
      </c>
    </row>
    <row r="67" spans="1:9" ht="15.75" customHeight="1" x14ac:dyDescent="0.4">
      <c r="A67" s="18" t="s">
        <v>87</v>
      </c>
      <c r="B67" s="18" t="s">
        <v>34</v>
      </c>
      <c r="C67" s="18" t="s">
        <v>17</v>
      </c>
      <c r="D67" s="18">
        <v>1.5</v>
      </c>
      <c r="E67">
        <v>1</v>
      </c>
      <c r="F67" s="12" t="s">
        <v>74</v>
      </c>
      <c r="H67" s="7">
        <f t="shared" si="0"/>
        <v>0.5</v>
      </c>
      <c r="I67" s="10">
        <f t="shared" si="1"/>
        <v>33.333333333333329</v>
      </c>
    </row>
    <row r="68" spans="1:9" ht="15.75" customHeight="1" x14ac:dyDescent="0.4">
      <c r="A68" s="14" t="s">
        <v>89</v>
      </c>
      <c r="B68" s="15"/>
      <c r="C68" s="16"/>
      <c r="D68" s="16"/>
      <c r="E68" s="16"/>
      <c r="F68" s="16"/>
      <c r="G68" s="15"/>
      <c r="H68" s="7"/>
      <c r="I68" s="10"/>
    </row>
    <row r="69" spans="1:9" ht="15.75" customHeight="1" x14ac:dyDescent="0.4">
      <c r="A69" s="18" t="s">
        <v>90</v>
      </c>
      <c r="B69" s="18" t="s">
        <v>23</v>
      </c>
      <c r="C69" s="18" t="s">
        <v>20</v>
      </c>
      <c r="D69" s="18">
        <v>2</v>
      </c>
      <c r="E69">
        <v>2</v>
      </c>
      <c r="F69" s="12" t="s">
        <v>74</v>
      </c>
      <c r="H69" s="7">
        <f t="shared" si="0"/>
        <v>0</v>
      </c>
      <c r="I69" s="10">
        <f t="shared" si="1"/>
        <v>0</v>
      </c>
    </row>
    <row r="70" spans="1:9" ht="15.75" customHeight="1" x14ac:dyDescent="0.4">
      <c r="A70" s="18" t="s">
        <v>91</v>
      </c>
      <c r="B70" s="18" t="s">
        <v>65</v>
      </c>
      <c r="C70" s="18" t="s">
        <v>26</v>
      </c>
      <c r="D70" s="18">
        <v>6</v>
      </c>
      <c r="E70">
        <v>6</v>
      </c>
      <c r="F70" s="12" t="s">
        <v>74</v>
      </c>
      <c r="H70" s="7">
        <f t="shared" si="0"/>
        <v>0</v>
      </c>
      <c r="I70" s="10">
        <f t="shared" si="1"/>
        <v>0</v>
      </c>
    </row>
    <row r="71" spans="1:9" ht="15.75" customHeight="1" x14ac:dyDescent="0.4">
      <c r="A71" s="18" t="s">
        <v>93</v>
      </c>
      <c r="B71" s="18" t="s">
        <v>65</v>
      </c>
      <c r="C71" s="18" t="s">
        <v>28</v>
      </c>
      <c r="D71" s="18">
        <v>3</v>
      </c>
      <c r="E71">
        <v>3</v>
      </c>
      <c r="F71" s="12" t="s">
        <v>74</v>
      </c>
      <c r="H71" s="7">
        <f t="shared" ref="H71:H73" si="2">D71-E71</f>
        <v>0</v>
      </c>
      <c r="I71" s="10">
        <f t="shared" ref="I71:I73" si="3">ABS(H71)/D71*100</f>
        <v>0</v>
      </c>
    </row>
    <row r="72" spans="1:9" ht="15.75" customHeight="1" x14ac:dyDescent="0.4">
      <c r="A72" s="18" t="s">
        <v>94</v>
      </c>
      <c r="B72" s="18" t="s">
        <v>65</v>
      </c>
      <c r="C72" s="18" t="s">
        <v>17</v>
      </c>
      <c r="D72" s="18">
        <v>3</v>
      </c>
      <c r="E72">
        <v>3</v>
      </c>
      <c r="F72" s="12" t="s">
        <v>74</v>
      </c>
      <c r="H72" s="7">
        <f t="shared" si="2"/>
        <v>0</v>
      </c>
      <c r="I72" s="10">
        <f t="shared" si="3"/>
        <v>0</v>
      </c>
    </row>
    <row r="73" spans="1:9" ht="15.75" customHeight="1" x14ac:dyDescent="0.4">
      <c r="A73" s="18" t="s">
        <v>95</v>
      </c>
      <c r="B73" s="18" t="s">
        <v>65</v>
      </c>
      <c r="C73" s="18" t="s">
        <v>24</v>
      </c>
      <c r="D73" s="18">
        <v>4</v>
      </c>
      <c r="E73">
        <v>4</v>
      </c>
      <c r="F73" s="12" t="s">
        <v>74</v>
      </c>
      <c r="H73" s="7">
        <f t="shared" si="2"/>
        <v>0</v>
      </c>
      <c r="I73" s="10">
        <f t="shared" si="3"/>
        <v>0</v>
      </c>
    </row>
    <row r="74" spans="1:9" ht="15.75" customHeight="1" x14ac:dyDescent="0.35"/>
    <row r="75" spans="1:9" ht="15.75" customHeight="1" x14ac:dyDescent="0.35"/>
    <row r="76" spans="1:9" ht="15.75" customHeight="1" x14ac:dyDescent="0.35"/>
    <row r="77" spans="1:9" ht="15.75" customHeight="1" x14ac:dyDescent="0.35"/>
    <row r="78" spans="1:9" ht="15.75" customHeight="1" x14ac:dyDescent="0.35"/>
    <row r="79" spans="1:9" ht="15.75" customHeight="1" x14ac:dyDescent="0.35"/>
    <row r="80" spans="1:9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Srinivas Nag Chowdhary Kolla</cp:lastModifiedBy>
  <dcterms:modified xsi:type="dcterms:W3CDTF">2026-04-21T13:58:24Z</dcterms:modified>
</cp:coreProperties>
</file>